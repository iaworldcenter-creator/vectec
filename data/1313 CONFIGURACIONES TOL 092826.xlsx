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CONFIGURACIONES\"/>
    </mc:Choice>
  </mc:AlternateContent>
  <xr:revisionPtr revIDLastSave="0" documentId="8_{846AA07B-6BD3-4E30-BEA9-7E41412F6C02}" xr6:coauthVersionLast="47" xr6:coauthVersionMax="47" xr10:uidLastSave="{00000000-0000-0000-0000-000000000000}"/>
  <bookViews>
    <workbookView xWindow="-120" yWindow="-120" windowWidth="24240" windowHeight="13020" tabRatio="841" firstSheet="1" activeTab="1" xr2:uid="{00000000-000D-0000-FFFF-FFFF00000000}"/>
  </bookViews>
  <sheets>
    <sheet name="P4 LGA775" sheetId="10" state="hidden" r:id="rId1"/>
    <sheet name="INTEL 14va GEN" sheetId="16" r:id="rId2"/>
    <sheet name="INTEL 12va GEN" sheetId="39" r:id="rId3"/>
    <sheet name="AMD RYZEN" sheetId="37" r:id="rId4"/>
    <sheet name="AMD RYZEN G" sheetId="38" r:id="rId5"/>
    <sheet name="Hoja1" sheetId="2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0" l="1"/>
  <c r="D32" i="10"/>
  <c r="D34" i="10"/>
  <c r="D35" i="10"/>
  <c r="D36" i="10"/>
  <c r="D25" i="10"/>
  <c r="E13" i="24"/>
  <c r="F13" i="24" s="1"/>
  <c r="E3" i="24"/>
  <c r="G3" i="10"/>
  <c r="D15" i="10"/>
  <c r="D14" i="10"/>
  <c r="D13" i="10"/>
  <c r="D12" i="10"/>
  <c r="D11" i="10"/>
  <c r="D10" i="10"/>
  <c r="D9" i="10"/>
  <c r="D7" i="10"/>
  <c r="D39" i="10"/>
  <c r="D33" i="10"/>
  <c r="D41" i="24"/>
  <c r="D14" i="24"/>
  <c r="E14" i="24" s="1"/>
  <c r="F14" i="24" s="1"/>
  <c r="D24" i="10"/>
  <c r="D19" i="10"/>
  <c r="D22" i="10"/>
  <c r="D20" i="10"/>
  <c r="D22" i="24"/>
  <c r="D43" i="24"/>
  <c r="D11" i="24"/>
  <c r="E11" i="24" s="1"/>
  <c r="F11" i="24" s="1"/>
  <c r="D15" i="24"/>
  <c r="E15" i="24" s="1"/>
  <c r="F15" i="24" s="1"/>
  <c r="D23" i="10"/>
  <c r="D21" i="10"/>
  <c r="D25" i="24"/>
  <c r="D42" i="24"/>
  <c r="D40" i="24"/>
  <c r="D31" i="10"/>
  <c r="D29" i="10"/>
  <c r="D27" i="10"/>
  <c r="D26" i="10"/>
  <c r="D30" i="10"/>
  <c r="D34" i="24"/>
  <c r="D35" i="24"/>
  <c r="D39" i="24"/>
  <c r="D36" i="24"/>
  <c r="D26" i="24"/>
  <c r="D21" i="24"/>
  <c r="D38" i="24"/>
  <c r="D37" i="24"/>
  <c r="D24" i="24"/>
  <c r="D23" i="24"/>
  <c r="D29" i="24"/>
  <c r="D31" i="24"/>
  <c r="D33" i="24"/>
  <c r="D28" i="24"/>
  <c r="D30" i="24"/>
  <c r="D32" i="24"/>
  <c r="D27" i="24"/>
  <c r="D12" i="24"/>
  <c r="E12" i="24" s="1"/>
  <c r="F12" i="24" s="1"/>
  <c r="D16" i="24"/>
  <c r="E16" i="24" s="1"/>
  <c r="F16" i="24" s="1"/>
  <c r="D17" i="24"/>
  <c r="E17" i="24" s="1"/>
  <c r="F17" i="24" s="1"/>
  <c r="D7" i="24"/>
  <c r="E7" i="24" s="1"/>
  <c r="D37" i="10" l="1"/>
  <c r="D18" i="24"/>
  <c r="E18" i="24"/>
  <c r="F7" i="24"/>
  <c r="F18" i="24" s="1"/>
  <c r="D16" i="10"/>
  <c r="D40" i="10" l="1"/>
  <c r="D41" i="10"/>
  <c r="D38" i="10"/>
</calcChain>
</file>

<file path=xl/sharedStrings.xml><?xml version="1.0" encoding="utf-8"?>
<sst xmlns="http://schemas.openxmlformats.org/spreadsheetml/2006/main" count="337" uniqueCount="177">
  <si>
    <t>CT INTERNACIONAL DEL NOROESTE, S.A. DE C.V.</t>
  </si>
  <si>
    <t>Descripcion del Componente</t>
  </si>
  <si>
    <t>PRECIO DE LA COMPUTADORA</t>
  </si>
  <si>
    <t>Adicionales:</t>
  </si>
  <si>
    <t>Sumar:</t>
  </si>
  <si>
    <t>Disco Duro de 120 GB de 7200 RPM</t>
  </si>
  <si>
    <t>Clave</t>
  </si>
  <si>
    <t xml:space="preserve">Clave </t>
  </si>
  <si>
    <t>CDRSMG020, o Similar</t>
  </si>
  <si>
    <t>DDUMXT730 o Similar</t>
  </si>
  <si>
    <t>Quemador de 52x24x52 LG o Samsung</t>
  </si>
  <si>
    <r>
      <t>Monitor LG o SAMSUNG de 17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</si>
  <si>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MONLGE360, MONSMG340</t>
  </si>
  <si>
    <t>CD ROM de 52X (de varias Marcas: Samsung, LG o similar)</t>
  </si>
  <si>
    <t>Quemador y DVD de 52x24x52x16x LG o Samsung</t>
  </si>
  <si>
    <t>CDRWLG090,CDRWSM020</t>
  </si>
  <si>
    <t>CDRWLG140,CDRWSM030</t>
  </si>
  <si>
    <t>BOCGEN290</t>
  </si>
  <si>
    <t>Par de bocinas Multimedia 2.0 Marca Acteck Modelo AX-2500 color Blanco</t>
  </si>
  <si>
    <t xml:space="preserve">Tabla de Precios de Computadoras Pentium 4 LGA775 Bus de 533 y 800 con 1 MB de Cache (Tecnologia Prescott) Actualizada al: </t>
  </si>
  <si>
    <t>CPUINT1420</t>
  </si>
  <si>
    <t>Memoria DDR2 SDRAM de 256 MB de 533 MHz Kingston</t>
  </si>
  <si>
    <t>MEMKGT260</t>
  </si>
  <si>
    <t>Memoria DDR2 SDRAM de 512 MB de 533 MHz Kingston</t>
  </si>
  <si>
    <t>MEMKGT270</t>
  </si>
  <si>
    <t>Par de bocinas Multimedia con subwoofer 2.1 Marca Acteck Modelo AXS-3000E color Negro</t>
  </si>
  <si>
    <t>BOCGEN570</t>
  </si>
  <si>
    <t>MONLGE350</t>
  </si>
  <si>
    <t>Monitor LG de 15'' LCD TFT Plano</t>
  </si>
  <si>
    <t>MBDASR570</t>
  </si>
  <si>
    <t>DDUSMG725 o Similar</t>
  </si>
  <si>
    <t>Disco Duro de 80 GB IDE de 7200 RPM</t>
  </si>
  <si>
    <t>Disco Duro de 160 GB de 7200 RPM 8 cache</t>
  </si>
  <si>
    <t>Disco Duro de 250 GB de 7200 RPM 8 cache</t>
  </si>
  <si>
    <t>DDUMXT790 o Similar</t>
  </si>
  <si>
    <t>DDUMXT760 o Similar</t>
  </si>
  <si>
    <t>Disco Duro de 320 GB de 7200 RPM 8 cache</t>
  </si>
  <si>
    <t>DDUWSD780 o Similar</t>
  </si>
  <si>
    <t>DDUSGT770 o Similar</t>
  </si>
  <si>
    <t>Disco Duro de 400 GB de 7200 RPM 8 cache</t>
  </si>
  <si>
    <t>Disco Duro de 500 GB de 7200 RPM 8 cache</t>
  </si>
  <si>
    <t>DDUSGT120 o Similar</t>
  </si>
  <si>
    <t xml:space="preserve">Quemador de DVD de 16x LG </t>
  </si>
  <si>
    <t>CDRLGE170</t>
  </si>
  <si>
    <t>MONSMG040</t>
  </si>
  <si>
    <t>Monitor SAMSUNG de 17'' Digital color NEGRO</t>
  </si>
  <si>
    <t>GABGEN070</t>
  </si>
  <si>
    <t>FDDGEN010</t>
  </si>
  <si>
    <t>Gabinete minitorre ATX color NEGRO</t>
  </si>
  <si>
    <t>Drive interno de 3.5¨ de 1.44 MB color NEGRO</t>
  </si>
  <si>
    <t>TECGEN070</t>
  </si>
  <si>
    <t>Teclado en español con conector Minidin color NEGRO</t>
  </si>
  <si>
    <t>MOUGEN370</t>
  </si>
  <si>
    <t>Mouse Optico color NEGRO</t>
  </si>
  <si>
    <r>
      <t>Monitor LG o SAMSUNG de 19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</si>
  <si>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MONLGE390, MONSMG470</t>
  </si>
  <si>
    <r>
      <t>Monitor SAMSUNG de 24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</si>
  <si>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MONSMG370</t>
  </si>
  <si>
    <t>Pentium 4 641 3.0 Bus 800</t>
  </si>
  <si>
    <t xml:space="preserve">Tabla de Precios de Computadoras Core 2 Quad y Core 2 Extreme Actualizada al: </t>
  </si>
  <si>
    <t>CPUINT1530</t>
  </si>
  <si>
    <t>CPU Intel Core 2 Quad Q6600</t>
  </si>
  <si>
    <t>CPUINT1500</t>
  </si>
  <si>
    <t>CPU Intel Core 2 Extreme QX6700</t>
  </si>
  <si>
    <t>CPUINT230</t>
  </si>
  <si>
    <t>CPU Intel Core 2 Extreme QX6850</t>
  </si>
  <si>
    <t>Motherboard ATX para Pentium 4 Socket LGA775 Marca Asrock Modelo ConRoe1333-D667 R1.0, con Video, Sonido, Red</t>
  </si>
  <si>
    <t>MBDINT1680</t>
  </si>
  <si>
    <t>Motherboard ATX para Pentium Core 2 Duo BUS 1333, Marca Intel Modelo DG33FBC, con Video, Sonido, Red</t>
  </si>
  <si>
    <t>MEMDAT110</t>
  </si>
  <si>
    <t>Memoria DDR2 SDRAM de 256 MB de 533 MHz V-DATA</t>
  </si>
  <si>
    <t>MEMDAT115</t>
  </si>
  <si>
    <t>Expansión de Memoria DDR2 256 a 512 MB de 533 MHz V-DATA</t>
  </si>
  <si>
    <t>Expansión de Memoria DDR2 256 a 1 GB de 533 MHz V-DATA</t>
  </si>
  <si>
    <t>MEMDAT120</t>
  </si>
  <si>
    <t>Expansión de Memoria DDR2 256 a 2 GB de 533 MHz V-DATA</t>
  </si>
  <si>
    <t>MEMDAT705</t>
  </si>
  <si>
    <t>MEMKGT290</t>
  </si>
  <si>
    <t>Memoria DDR2 SDRAM de 1 GB de 533 MHz Kingston</t>
  </si>
  <si>
    <t>MEMKGT560</t>
  </si>
  <si>
    <t>Memoria DDR2 SDRAM de 2 GB de 533 MHz Kingston</t>
  </si>
  <si>
    <t>Core 2 Duo Q6600</t>
  </si>
  <si>
    <t>Core 2 Duo QX6700</t>
  </si>
  <si>
    <t>Core 2 Duo QX6850</t>
  </si>
  <si>
    <t>CPU Intel Pentium D 945 de 3.4 GHz 2 MB de Cache Bus 800 Mhz</t>
  </si>
  <si>
    <t>* Los precios están en dólares y sujetos a cambios sin previo aviso</t>
  </si>
  <si>
    <t>Para la tecnología INTEL CORE i3 / i5 / i7, CT recomienda los siguientes componentes, cuya compatibilidad ha sido comprobada.</t>
  </si>
  <si>
    <t>Además recomendamos las siguientes opciones para su configuración,</t>
  </si>
  <si>
    <t>Clave CT</t>
  </si>
  <si>
    <t>Descripción</t>
  </si>
  <si>
    <t xml:space="preserve">Tabla de Precios de Computadoras con Microprocesador INTEL CORE Ix, actualizada al: </t>
  </si>
  <si>
    <t>Para la tecnología AMD APU Ax, CT recomienda los siguientes componentes, cuya compatibilidad ha sido comprobada.</t>
  </si>
  <si>
    <t xml:space="preserve">Tabla de Precios de Computadoras con Microprocesador AMD APU Ax, actualizada al: </t>
  </si>
  <si>
    <t>Para la tecnología AMD RYZEN, CT recomienda los siguientes componentes, cuya compatibilidad ha sido comprobada.</t>
  </si>
  <si>
    <t xml:space="preserve">Tabla de Precios de Computadoras con Microprocesador AMD RYZEN, actualizada al: </t>
  </si>
  <si>
    <t>CPUAMD2290</t>
  </si>
  <si>
    <t>RYZEN 7 5700G</t>
  </si>
  <si>
    <t>DDUSAT260</t>
  </si>
  <si>
    <t>KITNCB140</t>
  </si>
  <si>
    <t>CPUAMD2140</t>
  </si>
  <si>
    <t>MEMKGN2910</t>
  </si>
  <si>
    <t>RYZEN 5 5600X</t>
  </si>
  <si>
    <t>DDUWSD1930</t>
  </si>
  <si>
    <t>GABACT160</t>
  </si>
  <si>
    <t>MONBLR150</t>
  </si>
  <si>
    <t>CPUINT4070</t>
  </si>
  <si>
    <t>CPUINT4160</t>
  </si>
  <si>
    <t>CPUINT4210</t>
  </si>
  <si>
    <t>MBDASS5460</t>
  </si>
  <si>
    <t>MEMKGN2870</t>
  </si>
  <si>
    <t>MEMDAT5700</t>
  </si>
  <si>
    <t>INTEL I5 12400</t>
  </si>
  <si>
    <t>INTEL I7 12700</t>
  </si>
  <si>
    <t>INTEL I9 12900</t>
  </si>
  <si>
    <t>CPUINT4520</t>
  </si>
  <si>
    <t>CPUINT4540</t>
  </si>
  <si>
    <t>CPUINT4560</t>
  </si>
  <si>
    <t>MEMKGN3680</t>
  </si>
  <si>
    <t>INTEL I5 14400</t>
  </si>
  <si>
    <t>INTEL I7 14700</t>
  </si>
  <si>
    <t>INTEL I9 14900</t>
  </si>
  <si>
    <t>DDUDAT1300</t>
  </si>
  <si>
    <t>DDUKGT1300</t>
  </si>
  <si>
    <t>MBDASS5500</t>
  </si>
  <si>
    <t>CPUAMD2570</t>
  </si>
  <si>
    <t>RYZEN 5 5600GT</t>
  </si>
  <si>
    <t>MBDASS5490</t>
  </si>
  <si>
    <t>MEMKGN3750</t>
  </si>
  <si>
    <t>TVIASS2990</t>
  </si>
  <si>
    <t>CPUAMD2820</t>
  </si>
  <si>
    <t>RYZEN 3 5300G</t>
  </si>
  <si>
    <t>MBDASS5750</t>
  </si>
  <si>
    <t>MEMKGN3470</t>
  </si>
  <si>
    <t>CPUAMD2500</t>
  </si>
  <si>
    <t>RYZEN 7 5700X</t>
  </si>
  <si>
    <t>MONASS710</t>
  </si>
  <si>
    <t>CPUAMD2710</t>
  </si>
  <si>
    <t>RYZEN 9 5900XT</t>
  </si>
  <si>
    <t>DDUDAT1290</t>
  </si>
  <si>
    <t>DDUKGT1360</t>
  </si>
  <si>
    <t>MONACT050</t>
  </si>
  <si>
    <t>MONLGE3280</t>
  </si>
  <si>
    <t>MONITOR CB195 PLANO 19.5 NEGRO AC-939409</t>
  </si>
  <si>
    <t>CORE I5-14400 4.70 GHZ MAX</t>
  </si>
  <si>
    <t>CORE I7-14700 5.40 GHZ MAX</t>
  </si>
  <si>
    <t>CORE I9-14900 5.80 GHZ MAX</t>
  </si>
  <si>
    <t>MB ASUS PRIME B760M-A D4</t>
  </si>
  <si>
    <t>GAB MICRO ACTECK KIOTO GC220 AC-933063</t>
  </si>
  <si>
    <t>DD SATA II 1TB 7200 NEW PULL</t>
  </si>
  <si>
    <t>DDR4 DIMM KGT 16GB/3200 KVR32N22S8/16</t>
  </si>
  <si>
    <t>KIT GAMER NACEB 4 EN 1 TEC/MOU/ NA-0925</t>
  </si>
  <si>
    <t>SSD ADATA 240GB ASU630SS-240GQ-R</t>
  </si>
  <si>
    <t>SSD ADATA 480GB ASU630SS-480GQ-R</t>
  </si>
  <si>
    <t>FURY IMPACT DDR5 16/4800 KF548S38IB-16</t>
  </si>
  <si>
    <t>D.D ESTADO SOLIDO SA400S37/480G</t>
  </si>
  <si>
    <t>D.D ESTADO SOLIDO SA400S37/960G</t>
  </si>
  <si>
    <t>MON LG 21.5 22U401A-B.AWMQ FHD 100HZ 1MS</t>
  </si>
  <si>
    <t>MON 23.8 CURVO ULTRA EARTH BR-938334 BCO</t>
  </si>
  <si>
    <t>MONITOR ASUS VA24EHE 23.8</t>
  </si>
  <si>
    <t>AMD RYZEN 7 5700G AM4</t>
  </si>
  <si>
    <t>AMD RYZEN 5 5600GT AM4</t>
  </si>
  <si>
    <t>AMD RYZEN 3 5300G</t>
  </si>
  <si>
    <t>MB ASUS PRIME B550M-A AC</t>
  </si>
  <si>
    <t>FURYBEASTBLACKDDR4 16GB KF432C16BB1/16</t>
  </si>
  <si>
    <t>SSD WD GREEN 480GB WDS480G3G0A</t>
  </si>
  <si>
    <t>FURYBEASTBLAC DDR4 16/3200 KF432C16BB/16</t>
  </si>
  <si>
    <t>AMD RYZEN 5 5600X 100-100000065BOX</t>
  </si>
  <si>
    <t>AMD RYZEN 7 5700X 8 CORE 4.6GHZ RETAIL</t>
  </si>
  <si>
    <t>AMD RYZEN 9 5900XT</t>
  </si>
  <si>
    <t>MB ASUS ROG STRIX B550-F GAMING WIFI II</t>
  </si>
  <si>
    <t>FURYBEASTBLACK DDR4 8/3200 KF432C16BB/8</t>
  </si>
  <si>
    <t>ASUS GT730-SL-2GD5-BRK</t>
  </si>
  <si>
    <t>DDR4 UDIMM 8GB 3200MHZ AD4U32008G22-SGN</t>
  </si>
  <si>
    <t>CORE I5-12400 2.50 GHZ</t>
  </si>
  <si>
    <t>CORE I7-12700 2.10 GHZ</t>
  </si>
  <si>
    <t>CORE I9-12900 2.40 GHZ</t>
  </si>
  <si>
    <t>MB ASUS PRIME H610M-K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</si>
</sst>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sz val="10"/>
      <name val="Helv"/>
    </font>
    <font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sz val="1"/>
      <name val="Arial"/>
      <family val="2"/>
    </font>
    <font>
      <i/>
      <sz val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10" fillId="0" borderId="0"/>
    <xf numFmtId="0" fontId="16" fillId="0" borderId="0"/>
    <xf numFmtId="0" fontId="1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7" fillId="0" borderId="0" xfId="0" applyFont="1"/>
    <xf numFmtId="4" fontId="2" fillId="4" borderId="6" xfId="0" applyNumberFormat="1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wrapText="1"/>
    </xf>
    <xf numFmtId="2" fontId="8" fillId="5" borderId="7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15" fontId="8" fillId="5" borderId="0" xfId="0" applyNumberFormat="1" applyFont="1" applyFill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11" fillId="0" borderId="0" xfId="0" applyFont="1"/>
    <xf numFmtId="0" fontId="12" fillId="8" borderId="6" xfId="0" applyFont="1" applyFill="1" applyBorder="1" applyAlignment="1">
      <alignment horizontal="center" vertical="center" wrapText="1"/>
    </xf>
    <xf numFmtId="15" fontId="12" fillId="8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44" fontId="11" fillId="9" borderId="0" xfId="0" applyNumberFormat="1" applyFont="1" applyFill="1" applyAlignment="1">
      <alignment horizontal="left" vertical="center" wrapText="1"/>
    </xf>
    <xf numFmtId="44" fontId="11" fillId="0" borderId="0" xfId="0" applyNumberFormat="1" applyFont="1" applyAlignment="1">
      <alignment horizontal="left" vertical="center" wrapText="1"/>
    </xf>
    <xf numFmtId="2" fontId="13" fillId="0" borderId="0" xfId="0" applyNumberFormat="1" applyFont="1"/>
    <xf numFmtId="44" fontId="11" fillId="9" borderId="17" xfId="0" applyNumberFormat="1" applyFont="1" applyFill="1" applyBorder="1" applyAlignment="1">
      <alignment horizontal="left" vertical="center" wrapText="1"/>
    </xf>
    <xf numFmtId="44" fontId="11" fillId="0" borderId="17" xfId="0" applyNumberFormat="1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5" xfId="0" applyFont="1" applyBorder="1"/>
    <xf numFmtId="0" fontId="7" fillId="0" borderId="15" xfId="0" applyFont="1" applyBorder="1"/>
    <xf numFmtId="0" fontId="0" fillId="0" borderId="17" xfId="0" applyBorder="1"/>
    <xf numFmtId="0" fontId="13" fillId="0" borderId="15" xfId="0" applyFont="1" applyBorder="1"/>
    <xf numFmtId="0" fontId="13" fillId="0" borderId="17" xfId="0" applyFont="1" applyBorder="1"/>
    <xf numFmtId="0" fontId="3" fillId="0" borderId="15" xfId="0" applyFont="1" applyBorder="1"/>
    <xf numFmtId="0" fontId="3" fillId="0" borderId="17" xfId="0" applyFont="1" applyBorder="1"/>
    <xf numFmtId="2" fontId="13" fillId="0" borderId="17" xfId="0" applyNumberFormat="1" applyFont="1" applyBorder="1"/>
    <xf numFmtId="0" fontId="14" fillId="0" borderId="15" xfId="0" applyFont="1" applyBorder="1" applyAlignment="1">
      <alignment horizontal="left" vertical="center"/>
    </xf>
    <xf numFmtId="2" fontId="3" fillId="0" borderId="17" xfId="0" applyNumberFormat="1" applyFont="1" applyBorder="1"/>
    <xf numFmtId="0" fontId="7" fillId="0" borderId="16" xfId="0" applyFont="1" applyBorder="1"/>
    <xf numFmtId="0" fontId="7" fillId="0" borderId="8" xfId="0" applyFont="1" applyBorder="1"/>
    <xf numFmtId="2" fontId="3" fillId="0" borderId="8" xfId="0" applyNumberFormat="1" applyFont="1" applyBorder="1"/>
    <xf numFmtId="2" fontId="3" fillId="0" borderId="18" xfId="0" applyNumberFormat="1" applyFont="1" applyBorder="1"/>
    <xf numFmtId="44" fontId="7" fillId="0" borderId="0" xfId="2" applyFont="1" applyBorder="1"/>
    <xf numFmtId="44" fontId="15" fillId="10" borderId="6" xfId="2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4" fontId="11" fillId="0" borderId="18" xfId="0" applyNumberFormat="1" applyFont="1" applyBorder="1" applyAlignment="1">
      <alignment horizontal="left" vertical="center" wrapText="1"/>
    </xf>
    <xf numFmtId="2" fontId="5" fillId="5" borderId="13" xfId="0" applyNumberFormat="1" applyFont="1" applyFill="1" applyBorder="1" applyAlignment="1">
      <alignment horizontal="center" vertical="center" wrapText="1"/>
    </xf>
    <xf numFmtId="2" fontId="5" fillId="5" borderId="14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10">
    <cellStyle name="Euro" xfId="1" xr:uid="{00000000-0005-0000-0000-000000000000}"/>
    <cellStyle name="Moneda" xfId="2" builtinId="4"/>
    <cellStyle name="Moneda 2" xfId="9" xr:uid="{00000000-0005-0000-0000-000003000000}"/>
    <cellStyle name="Normal" xfId="0" builtinId="0"/>
    <cellStyle name="Normal 10" xfId="5" xr:uid="{00000000-0005-0000-0000-000005000000}"/>
    <cellStyle name="Normal 16 2 2 2 2 2 2" xfId="4" xr:uid="{00000000-0005-0000-0000-000006000000}"/>
    <cellStyle name="Normal 2" xfId="7" xr:uid="{00000000-0005-0000-0000-000007000000}"/>
    <cellStyle name="Normal 2 16" xfId="3" xr:uid="{00000000-0005-0000-0000-000008000000}"/>
    <cellStyle name="Normal 2 2" xfId="8" xr:uid="{00000000-0005-0000-0000-000009000000}"/>
    <cellStyle name="Normal 5 3 2 2 2 2 2 2 2 2 2 2 2 2 2 2 2 3 2 2 2" xfId="6" xr:uid="{00000000-0005-0000-0000-00000A000000}"/>
  </cellStyles>
  <dxfs count="0"/>
  <tableStyles count="0" defaultTableStyle="TableStyleMedium9" defaultPivotStyle="PivotStyleLight16"/>
  <colors>
    <mruColors>
      <color rgb="FFCC0000"/>
      <color rgb="FFFF0000"/>
      <color rgb="FF800000"/>
      <color rgb="FFF2DCDB"/>
      <color rgb="FF3366FF"/>
      <color rgb="FFFFFFCC"/>
      <color rgb="FFFFFF99"/>
      <color rgb="FFCCEC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BFCF3-6478-4F6F-AAD8-48C92C13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7953375" cy="1323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10702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51770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7048500" y="4933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41"/>
  <sheetViews>
    <sheetView zoomScale="70" zoomScaleNormal="70" workbookViewId="0">
      <selection activeCell="F33" sqref="F33"/>
    </sheetView>
  </sheetViews>
  <sheetFormatPr baseColWidth="10" defaultRowHeight="15" x14ac:dyDescent="0.2"/>
  <cols>
    <col min="1" max="1" width="3.28515625" customWidth="1"/>
    <col min="2" max="2" width="78" style="17" customWidth="1"/>
    <col min="3" max="3" width="31.42578125" style="17" customWidth="1"/>
    <col min="4" max="5" width="16.7109375" style="2" customWidth="1"/>
    <col min="6" max="6" width="16.42578125" style="2" customWidth="1"/>
    <col min="7" max="7" width="18.140625" style="2" customWidth="1"/>
    <col min="8" max="8" width="19.140625" style="17" customWidth="1"/>
    <col min="9" max="16384" width="11.42578125" style="17"/>
  </cols>
  <sheetData>
    <row r="1" spans="1:10" s="3" customFormat="1" x14ac:dyDescent="0.2">
      <c r="A1"/>
      <c r="D1" s="2"/>
      <c r="E1" s="2"/>
      <c r="F1" s="2"/>
      <c r="G1" s="2"/>
      <c r="H1" s="2"/>
      <c r="I1" s="2"/>
      <c r="J1" s="2"/>
    </row>
    <row r="2" spans="1:10" s="6" customFormat="1" ht="23.25" x14ac:dyDescent="0.35">
      <c r="B2" s="1" t="s">
        <v>0</v>
      </c>
      <c r="C2" s="1"/>
      <c r="D2" s="7"/>
      <c r="E2" s="7"/>
      <c r="F2" s="7"/>
      <c r="G2" s="7"/>
      <c r="H2" s="7"/>
      <c r="I2" s="7"/>
      <c r="J2" s="7"/>
    </row>
    <row r="3" spans="1:10" s="5" customFormat="1" ht="15.75" x14ac:dyDescent="0.25">
      <c r="B3" s="5" t="s">
        <v>19</v>
      </c>
      <c r="D3" s="4"/>
      <c r="E3"/>
      <c r="F3"/>
      <c r="G3" s="22" t="e">
        <f>'INTEL 14va GEN'!#REF!</f>
        <v>#REF!</v>
      </c>
      <c r="H3"/>
      <c r="I3" s="4"/>
      <c r="J3" s="4"/>
    </row>
    <row r="4" spans="1:10" customFormat="1" ht="15.75" x14ac:dyDescent="0.25">
      <c r="A4" s="5"/>
    </row>
    <row r="5" spans="1:10" s="5" customFormat="1" ht="20.25" x14ac:dyDescent="0.25">
      <c r="A5"/>
      <c r="B5" s="63" t="s">
        <v>1</v>
      </c>
      <c r="C5" s="65" t="s">
        <v>7</v>
      </c>
      <c r="D5" s="23"/>
      <c r="E5" s="4"/>
      <c r="F5" s="4"/>
    </row>
    <row r="6" spans="1:10" ht="48" thickBot="1" x14ac:dyDescent="0.25">
      <c r="B6" s="64"/>
      <c r="C6" s="66"/>
      <c r="D6" s="20" t="s">
        <v>58</v>
      </c>
      <c r="E6" s="17"/>
      <c r="F6" s="17"/>
      <c r="G6" s="17"/>
    </row>
    <row r="7" spans="1:10" s="3" customFormat="1" ht="20.100000000000001" customHeight="1" thickTop="1" x14ac:dyDescent="0.2">
      <c r="B7" s="16" t="s">
        <v>45</v>
      </c>
      <c r="C7" s="9" t="s">
        <v>44</v>
      </c>
      <c r="D7" s="14" t="e">
        <f>'INTEL 14va GEN'!#REF!</f>
        <v>#REF!</v>
      </c>
    </row>
    <row r="8" spans="1:10" s="3" customFormat="1" ht="20.100000000000001" customHeight="1" x14ac:dyDescent="0.2">
      <c r="B8" s="15" t="s">
        <v>84</v>
      </c>
      <c r="C8" s="9" t="s">
        <v>20</v>
      </c>
      <c r="D8" s="13">
        <v>165</v>
      </c>
    </row>
    <row r="9" spans="1:10" s="3" customFormat="1" ht="20.100000000000001" customHeight="1" x14ac:dyDescent="0.2">
      <c r="B9" s="15" t="s">
        <v>31</v>
      </c>
      <c r="C9" s="11" t="s">
        <v>30</v>
      </c>
      <c r="D9" s="14" t="e">
        <f>'INTEL 14va GEN'!#REF!</f>
        <v>#REF!</v>
      </c>
    </row>
    <row r="10" spans="1:10" s="3" customFormat="1" ht="20.100000000000001" customHeight="1" x14ac:dyDescent="0.2">
      <c r="B10" s="16" t="s">
        <v>70</v>
      </c>
      <c r="C10" s="9" t="s">
        <v>69</v>
      </c>
      <c r="D10" s="14" t="e">
        <f>'INTEL 14va GEN'!#REF!</f>
        <v>#REF!</v>
      </c>
    </row>
    <row r="11" spans="1:10" s="3" customFormat="1" ht="31.5" x14ac:dyDescent="0.2">
      <c r="B11" s="15" t="s">
        <v>66</v>
      </c>
      <c r="C11" s="10" t="s">
        <v>29</v>
      </c>
      <c r="D11" s="14" t="e">
        <f>'INTEL 14va GEN'!#REF!</f>
        <v>#REF!</v>
      </c>
    </row>
    <row r="12" spans="1:10" s="3" customFormat="1" ht="20.100000000000001" customHeight="1" x14ac:dyDescent="0.2">
      <c r="B12" s="16" t="s">
        <v>48</v>
      </c>
      <c r="C12" s="9" t="s">
        <v>46</v>
      </c>
      <c r="D12" s="14" t="e">
        <f>'INTEL 14va GEN'!#REF!</f>
        <v>#REF!</v>
      </c>
    </row>
    <row r="13" spans="1:10" s="3" customFormat="1" ht="20.100000000000001" customHeight="1" x14ac:dyDescent="0.2">
      <c r="B13" s="15" t="s">
        <v>49</v>
      </c>
      <c r="C13" s="10" t="s">
        <v>47</v>
      </c>
      <c r="D13" s="14" t="e">
        <f>'INTEL 14va GEN'!#REF!</f>
        <v>#REF!</v>
      </c>
    </row>
    <row r="14" spans="1:10" s="3" customFormat="1" ht="20.100000000000001" customHeight="1" x14ac:dyDescent="0.2">
      <c r="B14" s="16" t="s">
        <v>51</v>
      </c>
      <c r="C14" s="9" t="s">
        <v>50</v>
      </c>
      <c r="D14" s="14" t="e">
        <f>'INTEL 14va GEN'!#REF!</f>
        <v>#REF!</v>
      </c>
    </row>
    <row r="15" spans="1:10" s="3" customFormat="1" ht="20.100000000000001" customHeight="1" x14ac:dyDescent="0.2">
      <c r="B15" s="15" t="s">
        <v>53</v>
      </c>
      <c r="C15" s="12" t="s">
        <v>52</v>
      </c>
      <c r="D15" s="14" t="e">
        <f>'INTEL 14va GEN'!#REF!</f>
        <v>#REF!</v>
      </c>
    </row>
    <row r="16" spans="1:10" s="8" customFormat="1" ht="24" thickBot="1" x14ac:dyDescent="0.25">
      <c r="A16" s="3"/>
      <c r="B16" s="61" t="s">
        <v>2</v>
      </c>
      <c r="C16" s="62"/>
      <c r="D16" s="18" t="e">
        <f>SUM(D7:D15)</f>
        <v>#REF!</v>
      </c>
    </row>
    <row r="17" spans="1:10" ht="15.75" thickTop="1" x14ac:dyDescent="0.2">
      <c r="A17" s="3"/>
      <c r="D17" s="17"/>
      <c r="E17" s="17"/>
    </row>
    <row r="18" spans="1:10" s="3" customFormat="1" ht="21" thickBot="1" x14ac:dyDescent="0.35">
      <c r="A18" s="8"/>
      <c r="B18" s="19"/>
      <c r="C18" s="19" t="s">
        <v>6</v>
      </c>
      <c r="D18" s="19" t="s">
        <v>4</v>
      </c>
      <c r="F18" s="2"/>
      <c r="G18" s="2"/>
      <c r="H18" s="2"/>
      <c r="I18" s="2"/>
      <c r="J18" s="2"/>
    </row>
    <row r="19" spans="1:10" s="3" customFormat="1" ht="16.5" thickTop="1" x14ac:dyDescent="0.2">
      <c r="B19" s="16" t="s">
        <v>5</v>
      </c>
      <c r="C19" s="11" t="s">
        <v>9</v>
      </c>
      <c r="D19" s="14" t="e">
        <f>'INTEL 14va GEN'!#REF!</f>
        <v>#REF!</v>
      </c>
      <c r="E19" s="2"/>
    </row>
    <row r="20" spans="1:10" s="3" customFormat="1" ht="15.75" x14ac:dyDescent="0.2">
      <c r="B20" s="15" t="s">
        <v>32</v>
      </c>
      <c r="C20" s="11" t="s">
        <v>34</v>
      </c>
      <c r="D20" s="14" t="e">
        <f>'INTEL 14va GEN'!#REF!</f>
        <v>#REF!</v>
      </c>
      <c r="E20" s="2"/>
    </row>
    <row r="21" spans="1:10" s="3" customFormat="1" ht="15.75" x14ac:dyDescent="0.2">
      <c r="A21"/>
      <c r="B21" s="16" t="s">
        <v>33</v>
      </c>
      <c r="C21" s="11" t="s">
        <v>35</v>
      </c>
      <c r="D21" s="14" t="e">
        <f>'INTEL 14va GEN'!#REF!</f>
        <v>#REF!</v>
      </c>
      <c r="E21" s="2"/>
    </row>
    <row r="22" spans="1:10" s="3" customFormat="1" ht="15.75" x14ac:dyDescent="0.2">
      <c r="A22"/>
      <c r="B22" s="15" t="s">
        <v>36</v>
      </c>
      <c r="C22" s="11" t="s">
        <v>37</v>
      </c>
      <c r="D22" s="14" t="e">
        <f>'INTEL 14va GEN'!#REF!</f>
        <v>#REF!</v>
      </c>
      <c r="E22" s="2"/>
    </row>
    <row r="23" spans="1:10" s="3" customFormat="1" ht="15.75" x14ac:dyDescent="0.2">
      <c r="A23"/>
      <c r="B23" s="16" t="s">
        <v>39</v>
      </c>
      <c r="C23" s="11" t="s">
        <v>38</v>
      </c>
      <c r="D23" s="14" t="e">
        <f>'INTEL 14va GEN'!#REF!</f>
        <v>#REF!</v>
      </c>
      <c r="E23" s="2"/>
    </row>
    <row r="24" spans="1:10" s="3" customFormat="1" ht="15.75" x14ac:dyDescent="0.2">
      <c r="B24" s="15" t="s">
        <v>40</v>
      </c>
      <c r="C24" s="11" t="s">
        <v>41</v>
      </c>
      <c r="D24" s="14" t="e">
        <f>'INTEL 14va GEN'!#REF!</f>
        <v>#REF!</v>
      </c>
      <c r="E24" s="2"/>
    </row>
    <row r="25" spans="1:10" s="3" customFormat="1" ht="15.75" x14ac:dyDescent="0.2">
      <c r="B25" s="16" t="s">
        <v>72</v>
      </c>
      <c r="C25" s="11" t="s">
        <v>71</v>
      </c>
      <c r="D25" s="14" t="e">
        <f>'INTEL 14va GEN'!#REF!</f>
        <v>#REF!</v>
      </c>
      <c r="E25" s="2"/>
    </row>
    <row r="26" spans="1:10" s="3" customFormat="1" ht="15.75" x14ac:dyDescent="0.2">
      <c r="B26" s="15" t="s">
        <v>73</v>
      </c>
      <c r="C26" s="11" t="s">
        <v>74</v>
      </c>
      <c r="D26" s="14" t="e">
        <f>'INTEL 14va GEN'!#REF!</f>
        <v>#REF!</v>
      </c>
      <c r="E26" s="2"/>
    </row>
    <row r="27" spans="1:10" s="3" customFormat="1" ht="15.75" x14ac:dyDescent="0.2">
      <c r="B27" s="16" t="s">
        <v>75</v>
      </c>
      <c r="C27" s="11" t="s">
        <v>76</v>
      </c>
      <c r="D27" s="14" t="e">
        <f>'INTEL 14va GEN'!#REF!</f>
        <v>#REF!</v>
      </c>
      <c r="E27" s="2"/>
    </row>
    <row r="28" spans="1:10" s="3" customFormat="1" ht="15.75" x14ac:dyDescent="0.2">
      <c r="B28" s="15" t="s">
        <v>21</v>
      </c>
      <c r="C28" s="11" t="s">
        <v>22</v>
      </c>
      <c r="D28" s="14" t="e">
        <f>'INTEL 14va GEN'!#REF!</f>
        <v>#REF!</v>
      </c>
      <c r="E28" s="2"/>
    </row>
    <row r="29" spans="1:10" s="3" customFormat="1" ht="15.75" x14ac:dyDescent="0.2">
      <c r="B29" s="16" t="s">
        <v>23</v>
      </c>
      <c r="C29" s="11" t="s">
        <v>24</v>
      </c>
      <c r="D29" s="14" t="e">
        <f>'INTEL 14va GEN'!#REF!</f>
        <v>#REF!</v>
      </c>
      <c r="E29" s="2"/>
    </row>
    <row r="30" spans="1:10" s="3" customFormat="1" ht="15.75" x14ac:dyDescent="0.2">
      <c r="B30" s="15" t="s">
        <v>78</v>
      </c>
      <c r="C30" s="11" t="s">
        <v>77</v>
      </c>
      <c r="D30" s="14" t="e">
        <f>'INTEL 14va GEN'!#REF!</f>
        <v>#REF!</v>
      </c>
      <c r="E30" s="2"/>
    </row>
    <row r="31" spans="1:10" ht="15.75" x14ac:dyDescent="0.2">
      <c r="B31" s="16" t="s">
        <v>80</v>
      </c>
      <c r="C31" s="11" t="s">
        <v>79</v>
      </c>
      <c r="D31" s="14" t="e">
        <f>'INTEL 14va GEN'!#REF!</f>
        <v>#REF!</v>
      </c>
    </row>
    <row r="32" spans="1:10" ht="31.5" x14ac:dyDescent="0.2">
      <c r="B32" s="15" t="s">
        <v>18</v>
      </c>
      <c r="C32" s="11" t="s">
        <v>17</v>
      </c>
      <c r="D32" s="14" t="e">
        <f>'INTEL 14va GEN'!#REF!</f>
        <v>#REF!</v>
      </c>
    </row>
    <row r="33" spans="2:4" ht="31.5" x14ac:dyDescent="0.2">
      <c r="B33" s="24" t="s">
        <v>25</v>
      </c>
      <c r="C33" s="11" t="s">
        <v>26</v>
      </c>
      <c r="D33" s="14" t="e">
        <f>'INTEL 14va GEN'!#REF!</f>
        <v>#REF!</v>
      </c>
    </row>
    <row r="34" spans="2:4" ht="15.75" x14ac:dyDescent="0.2">
      <c r="B34" s="15" t="s">
        <v>13</v>
      </c>
      <c r="C34" s="11" t="s">
        <v>8</v>
      </c>
      <c r="D34" s="14" t="e">
        <f>'INTEL 14va GEN'!#REF!</f>
        <v>#REF!</v>
      </c>
    </row>
    <row r="35" spans="2:4" ht="15.75" x14ac:dyDescent="0.2">
      <c r="B35" s="16" t="s">
        <v>10</v>
      </c>
      <c r="C35" s="11" t="s">
        <v>15</v>
      </c>
      <c r="D35" s="14" t="e">
        <f>'INTEL 14va GEN'!#REF!</f>
        <v>#REF!</v>
      </c>
    </row>
    <row r="36" spans="2:4" ht="15.75" x14ac:dyDescent="0.2">
      <c r="B36" s="15" t="s">
        <v>14</v>
      </c>
      <c r="C36" s="11" t="s">
        <v>16</v>
      </c>
      <c r="D36" s="14" t="e">
        <f>'INTEL 14va GEN'!#REF!</f>
        <v>#REF!</v>
      </c>
    </row>
    <row r="37" spans="2:4" ht="15.75" x14ac:dyDescent="0.2">
      <c r="B37" s="16" t="s">
        <v>42</v>
      </c>
      <c r="C37" s="11" t="s">
        <v>43</v>
      </c>
      <c r="D37" s="14" t="e">
        <f>'INTEL 14va GEN'!#REF!</f>
        <v>#REF!</v>
      </c>
    </row>
    <row r="38" spans="2:4" ht="15.75" x14ac:dyDescent="0.2">
      <c r="B38" s="15" t="s">
        <v>28</v>
      </c>
      <c r="C38" s="11" t="s">
        <v>27</v>
      </c>
      <c r="D38" s="14" t="e">
        <f>'INTEL 14va GEN'!#REF!</f>
        <v>#REF!</v>
      </c>
    </row>
    <row r="39" spans="2:4" ht="15.75" x14ac:dyDescent="0.2">
      <c r="B39" s="16" t="s">
        <v>11</v>
      </c>
      <c r="C39" s="11" t="s">
        <v>12</v>
      </c>
      <c r="D39" s="14" t="e">
        <f>'INTEL 14va GEN'!#REF!</f>
        <v>#REF!</v>
      </c>
    </row>
    <row r="40" spans="2:4" ht="15.75" x14ac:dyDescent="0.2">
      <c r="B40" s="15" t="s">
        <v>54</v>
      </c>
      <c r="C40" s="11" t="s">
        <v>55</v>
      </c>
      <c r="D40" s="14" t="e">
        <f>'INTEL 14va GEN'!#REF!</f>
        <v>#REF!</v>
      </c>
    </row>
    <row r="41" spans="2:4" ht="15.75" x14ac:dyDescent="0.2">
      <c r="B41" s="16" t="s">
        <v>56</v>
      </c>
      <c r="C41" s="11" t="s">
        <v>57</v>
      </c>
      <c r="D41" s="14" t="e">
        <f>'INTEL 14va GEN'!#REF!</f>
        <v>#REF!</v>
      </c>
    </row>
  </sheetData>
  <mergeCells count="3">
    <mergeCell ref="B16:C16"/>
    <mergeCell ref="B5:B6"/>
    <mergeCell ref="C5:C6"/>
  </mergeCells>
  <phoneticPr fontId="0" type="noConversion"/>
  <pageMargins left="0.26" right="0.23" top="0.23" bottom="0.24" header="0" footer="0"/>
  <pageSetup scale="44" orientation="landscape" r:id="rId1"/>
  <headerFooter alignWithMargins="0">
    <oddHeader>&amp;CP4 Bus 533 y 800 Prescott</oddHeader>
    <oddFooter>&amp;C&amp;"Arial,Negrita"&amp;16Pagina V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3366FF"/>
    <pageSetUpPr fitToPage="1"/>
  </sheetPr>
  <dimension ref="A1:F41"/>
  <sheetViews>
    <sheetView showGridLines="0" tabSelected="1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46293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118</v>
      </c>
      <c r="E5" s="26" t="s">
        <v>119</v>
      </c>
      <c r="F5" s="26" t="s">
        <v>120</v>
      </c>
    </row>
    <row r="6" spans="1:6" s="25" customFormat="1" ht="12" x14ac:dyDescent="0.2">
      <c r="B6" s="30" t="s">
        <v>140</v>
      </c>
      <c r="C6" s="31" t="s">
        <v>142</v>
      </c>
      <c r="D6" s="34">
        <v>32.583903551645484</v>
      </c>
      <c r="E6" s="34">
        <v>32.583903551645484</v>
      </c>
      <c r="F6" s="37">
        <v>32.583903551645484</v>
      </c>
    </row>
    <row r="7" spans="1:6" s="25" customFormat="1" ht="12" x14ac:dyDescent="0.2">
      <c r="B7" s="29" t="s">
        <v>114</v>
      </c>
      <c r="C7" s="28" t="s">
        <v>143</v>
      </c>
      <c r="D7" s="35">
        <v>192.22222222222223</v>
      </c>
      <c r="E7" s="35">
        <v>0</v>
      </c>
      <c r="F7" s="38">
        <v>0</v>
      </c>
    </row>
    <row r="8" spans="1:6" s="25" customFormat="1" ht="12" x14ac:dyDescent="0.2">
      <c r="B8" s="30" t="s">
        <v>115</v>
      </c>
      <c r="C8" s="31" t="s">
        <v>144</v>
      </c>
      <c r="D8" s="34">
        <v>0</v>
      </c>
      <c r="E8" s="34">
        <v>364.9444444444444</v>
      </c>
      <c r="F8" s="37">
        <v>0</v>
      </c>
    </row>
    <row r="9" spans="1:6" s="25" customFormat="1" ht="12" x14ac:dyDescent="0.2">
      <c r="B9" s="29" t="s">
        <v>116</v>
      </c>
      <c r="C9" s="28" t="s">
        <v>145</v>
      </c>
      <c r="D9" s="35">
        <v>0</v>
      </c>
      <c r="E9" s="35">
        <v>0</v>
      </c>
      <c r="F9" s="38">
        <v>565.27777777777771</v>
      </c>
    </row>
    <row r="10" spans="1:6" s="25" customFormat="1" ht="12" x14ac:dyDescent="0.2">
      <c r="B10" s="30" t="s">
        <v>131</v>
      </c>
      <c r="C10" s="31" t="s">
        <v>146</v>
      </c>
      <c r="D10" s="34">
        <v>107.95454545454545</v>
      </c>
      <c r="E10" s="34">
        <v>107.95454545454545</v>
      </c>
      <c r="F10" s="37">
        <v>107.95454545454545</v>
      </c>
    </row>
    <row r="11" spans="1:6" s="25" customFormat="1" ht="12" x14ac:dyDescent="0.2">
      <c r="B11" s="29" t="s">
        <v>103</v>
      </c>
      <c r="C11" s="28" t="s">
        <v>147</v>
      </c>
      <c r="D11" s="35">
        <v>26.081072159503535</v>
      </c>
      <c r="E11" s="35">
        <v>26.081072159503535</v>
      </c>
      <c r="F11" s="38">
        <v>26.081072159503535</v>
      </c>
    </row>
    <row r="12" spans="1:6" s="25" customFormat="1" ht="12" x14ac:dyDescent="0.2">
      <c r="B12" s="30" t="s">
        <v>97</v>
      </c>
      <c r="C12" s="31" t="s">
        <v>148</v>
      </c>
      <c r="D12" s="34">
        <v>57.55555555555555</v>
      </c>
      <c r="E12" s="34">
        <v>57.55555555555555</v>
      </c>
      <c r="F12" s="37">
        <v>57.55555555555555</v>
      </c>
    </row>
    <row r="13" spans="1:6" s="25" customFormat="1" ht="12" x14ac:dyDescent="0.2">
      <c r="B13" s="29" t="s">
        <v>132</v>
      </c>
      <c r="C13" s="28" t="s">
        <v>149</v>
      </c>
      <c r="D13" s="35">
        <v>183.54444444444445</v>
      </c>
      <c r="E13" s="35">
        <v>183.54444444444445</v>
      </c>
      <c r="F13" s="38">
        <v>183.54444444444445</v>
      </c>
    </row>
    <row r="14" spans="1:6" s="25" customFormat="1" ht="12" x14ac:dyDescent="0.2">
      <c r="B14" s="30" t="s">
        <v>98</v>
      </c>
      <c r="C14" s="31" t="s">
        <v>150</v>
      </c>
      <c r="D14" s="34">
        <v>24.842441509108173</v>
      </c>
      <c r="E14" s="34">
        <v>24.842441509108173</v>
      </c>
      <c r="F14" s="37">
        <v>24.842441509108173</v>
      </c>
    </row>
    <row r="15" spans="1:6" s="32" customFormat="1" ht="12" x14ac:dyDescent="0.2">
      <c r="A15" s="25"/>
      <c r="B15" s="26"/>
      <c r="C15" s="26"/>
      <c r="D15" s="57">
        <v>624.78418489702494</v>
      </c>
      <c r="E15" s="57">
        <v>797.50640711924711</v>
      </c>
      <c r="F15" s="57">
        <v>997.83974045258037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30.866666666666667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117</v>
      </c>
      <c r="C21" s="31" t="s">
        <v>153</v>
      </c>
      <c r="D21" s="37">
        <v>181.27777777777777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132.94444444444446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31.920792531997982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89.889956916838628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92.416096448354523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43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honeticPr fontId="0" type="noConversion"/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E064-5181-4DB6-85A6-72F66D1523F6}">
  <sheetPr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46293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111</v>
      </c>
      <c r="E5" s="26" t="s">
        <v>112</v>
      </c>
      <c r="F5" s="26" t="s">
        <v>113</v>
      </c>
    </row>
    <row r="6" spans="1:6" s="25" customFormat="1" ht="12" x14ac:dyDescent="0.2">
      <c r="B6" s="30" t="s">
        <v>140</v>
      </c>
      <c r="C6" s="31" t="s">
        <v>142</v>
      </c>
      <c r="D6" s="34">
        <v>32.583903551645484</v>
      </c>
      <c r="E6" s="34">
        <v>32.583903551645484</v>
      </c>
      <c r="F6" s="37">
        <v>32.583903551645484</v>
      </c>
    </row>
    <row r="7" spans="1:6" s="25" customFormat="1" ht="12" x14ac:dyDescent="0.2">
      <c r="B7" s="29" t="s">
        <v>105</v>
      </c>
      <c r="C7" s="28" t="s">
        <v>173</v>
      </c>
      <c r="D7" s="35">
        <v>165.72222222222223</v>
      </c>
      <c r="E7" s="35">
        <v>0</v>
      </c>
      <c r="F7" s="38">
        <v>0</v>
      </c>
    </row>
    <row r="8" spans="1:6" s="25" customFormat="1" ht="12" x14ac:dyDescent="0.2">
      <c r="B8" s="30" t="s">
        <v>106</v>
      </c>
      <c r="C8" s="31" t="s">
        <v>174</v>
      </c>
      <c r="D8" s="34">
        <v>0</v>
      </c>
      <c r="E8" s="34">
        <v>314.16666666666669</v>
      </c>
      <c r="F8" s="37">
        <v>0</v>
      </c>
    </row>
    <row r="9" spans="1:6" s="25" customFormat="1" ht="12" x14ac:dyDescent="0.2">
      <c r="B9" s="29" t="s">
        <v>107</v>
      </c>
      <c r="C9" s="28" t="s">
        <v>175</v>
      </c>
      <c r="D9" s="35">
        <v>0</v>
      </c>
      <c r="E9" s="35">
        <v>0</v>
      </c>
      <c r="F9" s="38">
        <v>446.87777777777774</v>
      </c>
    </row>
    <row r="10" spans="1:6" s="25" customFormat="1" ht="12" x14ac:dyDescent="0.2">
      <c r="B10" s="30" t="s">
        <v>108</v>
      </c>
      <c r="C10" s="31" t="s">
        <v>176</v>
      </c>
      <c r="D10" s="34">
        <v>60.25</v>
      </c>
      <c r="E10" s="34">
        <v>60.25</v>
      </c>
      <c r="F10" s="37">
        <v>60.25</v>
      </c>
    </row>
    <row r="11" spans="1:6" s="25" customFormat="1" ht="12" x14ac:dyDescent="0.2">
      <c r="B11" s="29" t="s">
        <v>103</v>
      </c>
      <c r="C11" s="28" t="s">
        <v>147</v>
      </c>
      <c r="D11" s="35">
        <v>26.081072159503535</v>
      </c>
      <c r="E11" s="35">
        <v>26.081072159503535</v>
      </c>
      <c r="F11" s="38">
        <v>26.081072159503535</v>
      </c>
    </row>
    <row r="12" spans="1:6" s="25" customFormat="1" ht="12" x14ac:dyDescent="0.2">
      <c r="B12" s="30" t="s">
        <v>97</v>
      </c>
      <c r="C12" s="31" t="s">
        <v>148</v>
      </c>
      <c r="D12" s="34">
        <v>57.55555555555555</v>
      </c>
      <c r="E12" s="34">
        <v>57.55555555555555</v>
      </c>
      <c r="F12" s="37">
        <v>57.55555555555555</v>
      </c>
    </row>
    <row r="13" spans="1:6" s="25" customFormat="1" ht="12" x14ac:dyDescent="0.2">
      <c r="B13" s="29" t="s">
        <v>110</v>
      </c>
      <c r="C13" s="28" t="s">
        <v>172</v>
      </c>
      <c r="D13" s="35">
        <v>51.55555555555555</v>
      </c>
      <c r="E13" s="35">
        <v>51.55555555555555</v>
      </c>
      <c r="F13" s="38">
        <v>51.55555555555555</v>
      </c>
    </row>
    <row r="14" spans="1:6" s="25" customFormat="1" ht="12" x14ac:dyDescent="0.2">
      <c r="B14" s="30" t="s">
        <v>98</v>
      </c>
      <c r="C14" s="31" t="s">
        <v>150</v>
      </c>
      <c r="D14" s="34">
        <v>24.842441509108173</v>
      </c>
      <c r="E14" s="34">
        <v>24.842441509108173</v>
      </c>
      <c r="F14" s="37">
        <v>24.842441509108173</v>
      </c>
    </row>
    <row r="15" spans="1:6" s="32" customFormat="1" ht="12" x14ac:dyDescent="0.2">
      <c r="A15" s="25"/>
      <c r="B15" s="26"/>
      <c r="C15" s="26"/>
      <c r="D15" s="57">
        <v>418.59075055359057</v>
      </c>
      <c r="E15" s="57">
        <v>567.03519499803508</v>
      </c>
      <c r="F15" s="57">
        <v>699.74630610914608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30.866666666666667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109</v>
      </c>
      <c r="C21" s="31" t="s">
        <v>170</v>
      </c>
      <c r="D21" s="37">
        <v>93.0138888888889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132.94444444444446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31.920792531997982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89.889956916838628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92.416096448354523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29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3366FF"/>
    <pageSetUpPr fitToPage="1"/>
  </sheetPr>
  <dimension ref="A1:F42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94</v>
      </c>
      <c r="D3" s="4"/>
      <c r="E3" s="4"/>
      <c r="F3" s="27">
        <v>46293</v>
      </c>
    </row>
    <row r="4" spans="1:6" customFormat="1" ht="15.75" x14ac:dyDescent="0.25">
      <c r="A4" s="5"/>
      <c r="B4" s="43" t="s">
        <v>93</v>
      </c>
      <c r="F4" s="44"/>
    </row>
    <row r="5" spans="1:6" ht="24" x14ac:dyDescent="0.2">
      <c r="B5" s="26" t="s">
        <v>88</v>
      </c>
      <c r="C5" s="26" t="s">
        <v>89</v>
      </c>
      <c r="D5" s="26" t="s">
        <v>101</v>
      </c>
      <c r="E5" s="26" t="s">
        <v>134</v>
      </c>
      <c r="F5" s="26" t="s">
        <v>137</v>
      </c>
    </row>
    <row r="6" spans="1:6" s="25" customFormat="1" ht="12" x14ac:dyDescent="0.2">
      <c r="B6" s="30" t="s">
        <v>140</v>
      </c>
      <c r="C6" s="31" t="s">
        <v>142</v>
      </c>
      <c r="D6" s="34">
        <v>32.583903551645484</v>
      </c>
      <c r="E6" s="34">
        <v>32.583903551645484</v>
      </c>
      <c r="F6" s="37">
        <v>32.583903551645484</v>
      </c>
    </row>
    <row r="7" spans="1:6" s="25" customFormat="1" ht="12" x14ac:dyDescent="0.2">
      <c r="B7" s="29" t="s">
        <v>99</v>
      </c>
      <c r="C7" s="28" t="s">
        <v>166</v>
      </c>
      <c r="D7" s="35">
        <v>114.61111111111111</v>
      </c>
      <c r="E7" s="35">
        <v>0</v>
      </c>
      <c r="F7" s="38">
        <v>0</v>
      </c>
    </row>
    <row r="8" spans="1:6" s="25" customFormat="1" ht="12" x14ac:dyDescent="0.2">
      <c r="B8" s="30" t="s">
        <v>133</v>
      </c>
      <c r="C8" s="31" t="s">
        <v>167</v>
      </c>
      <c r="D8" s="34">
        <v>0</v>
      </c>
      <c r="E8" s="34">
        <v>193.94444444444446</v>
      </c>
      <c r="F8" s="37">
        <v>0</v>
      </c>
    </row>
    <row r="9" spans="1:6" s="25" customFormat="1" ht="12" x14ac:dyDescent="0.2">
      <c r="B9" s="29" t="s">
        <v>136</v>
      </c>
      <c r="C9" s="28" t="s">
        <v>168</v>
      </c>
      <c r="D9" s="35">
        <v>0</v>
      </c>
      <c r="E9" s="35">
        <v>0</v>
      </c>
      <c r="F9" s="38">
        <v>299.22222222222223</v>
      </c>
    </row>
    <row r="10" spans="1:6" s="25" customFormat="1" ht="12" x14ac:dyDescent="0.2">
      <c r="B10" s="30" t="s">
        <v>123</v>
      </c>
      <c r="C10" s="31" t="s">
        <v>169</v>
      </c>
      <c r="D10" s="34">
        <v>166.47727272727272</v>
      </c>
      <c r="E10" s="34">
        <v>166.47727272727272</v>
      </c>
      <c r="F10" s="37">
        <v>166.47727272727272</v>
      </c>
    </row>
    <row r="11" spans="1:6" s="25" customFormat="1" ht="12" x14ac:dyDescent="0.2">
      <c r="B11" s="29" t="s">
        <v>103</v>
      </c>
      <c r="C11" s="28" t="s">
        <v>147</v>
      </c>
      <c r="D11" s="35">
        <v>26.081072159503535</v>
      </c>
      <c r="E11" s="35">
        <v>26.081072159503535</v>
      </c>
      <c r="F11" s="38">
        <v>26.081072159503535</v>
      </c>
    </row>
    <row r="12" spans="1:6" s="25" customFormat="1" ht="12" x14ac:dyDescent="0.2">
      <c r="B12" s="30" t="s">
        <v>97</v>
      </c>
      <c r="C12" s="31" t="s">
        <v>148</v>
      </c>
      <c r="D12" s="34">
        <v>57.55555555555555</v>
      </c>
      <c r="E12" s="34">
        <v>57.55555555555555</v>
      </c>
      <c r="F12" s="37">
        <v>57.55555555555555</v>
      </c>
    </row>
    <row r="13" spans="1:6" s="25" customFormat="1" ht="12" x14ac:dyDescent="0.2">
      <c r="B13" s="29" t="s">
        <v>109</v>
      </c>
      <c r="C13" s="28" t="s">
        <v>170</v>
      </c>
      <c r="D13" s="35">
        <v>93.0138888888889</v>
      </c>
      <c r="E13" s="35">
        <v>93.0138888888889</v>
      </c>
      <c r="F13" s="38">
        <v>93.0138888888889</v>
      </c>
    </row>
    <row r="14" spans="1:6" s="25" customFormat="1" ht="12" x14ac:dyDescent="0.2">
      <c r="B14" s="30" t="s">
        <v>98</v>
      </c>
      <c r="C14" s="31" t="s">
        <v>150</v>
      </c>
      <c r="D14" s="34">
        <v>24.842441509108173</v>
      </c>
      <c r="E14" s="34">
        <v>24.842441509108173</v>
      </c>
      <c r="F14" s="37">
        <v>24.842441509108173</v>
      </c>
    </row>
    <row r="15" spans="1:6" s="25" customFormat="1" ht="12" x14ac:dyDescent="0.2">
      <c r="B15" s="29" t="s">
        <v>128</v>
      </c>
      <c r="C15" s="28" t="s">
        <v>171</v>
      </c>
      <c r="D15" s="35">
        <v>99.117647058823536</v>
      </c>
      <c r="E15" s="35">
        <v>99.117647058823536</v>
      </c>
      <c r="F15" s="38">
        <v>99.117647058823536</v>
      </c>
    </row>
    <row r="16" spans="1:6" s="32" customFormat="1" ht="12" x14ac:dyDescent="0.2">
      <c r="A16" s="25"/>
      <c r="B16" s="26"/>
      <c r="C16" s="26"/>
      <c r="D16" s="57">
        <v>614.28289256190897</v>
      </c>
      <c r="E16" s="57">
        <v>693.61622589524234</v>
      </c>
      <c r="F16" s="57">
        <v>798.89400367302017</v>
      </c>
    </row>
    <row r="17" spans="1:6" s="33" customFormat="1" ht="5.25" x14ac:dyDescent="0.15">
      <c r="B17" s="45"/>
      <c r="F17" s="46"/>
    </row>
    <row r="18" spans="1:6" s="3" customFormat="1" x14ac:dyDescent="0.2">
      <c r="B18" s="47" t="s">
        <v>87</v>
      </c>
      <c r="F18" s="48"/>
    </row>
    <row r="19" spans="1:6" s="3" customFormat="1" x14ac:dyDescent="0.2">
      <c r="A19" s="8"/>
      <c r="B19" s="26" t="s">
        <v>88</v>
      </c>
      <c r="C19" s="26" t="s">
        <v>89</v>
      </c>
      <c r="D19" s="26" t="s">
        <v>4</v>
      </c>
      <c r="E19" s="36"/>
      <c r="F19" s="49"/>
    </row>
    <row r="20" spans="1:6" s="25" customFormat="1" ht="12" x14ac:dyDescent="0.2">
      <c r="B20" s="30" t="s">
        <v>138</v>
      </c>
      <c r="C20" s="31" t="s">
        <v>151</v>
      </c>
      <c r="D20" s="37">
        <v>30.866666666666667</v>
      </c>
      <c r="E20" s="36"/>
      <c r="F20" s="49"/>
    </row>
    <row r="21" spans="1:6" s="25" customFormat="1" ht="12" x14ac:dyDescent="0.2">
      <c r="B21" s="29" t="s">
        <v>121</v>
      </c>
      <c r="C21" s="28" t="s">
        <v>152</v>
      </c>
      <c r="D21" s="38">
        <v>58.888888888888886</v>
      </c>
      <c r="E21" s="36"/>
      <c r="F21" s="49"/>
    </row>
    <row r="22" spans="1:6" s="25" customFormat="1" ht="12" x14ac:dyDescent="0.2">
      <c r="B22" s="30" t="s">
        <v>110</v>
      </c>
      <c r="C22" s="31" t="s">
        <v>172</v>
      </c>
      <c r="D22" s="37">
        <v>51.55555555555555</v>
      </c>
      <c r="E22" s="36"/>
      <c r="F22" s="49"/>
    </row>
    <row r="23" spans="1:6" s="25" customFormat="1" ht="12" x14ac:dyDescent="0.2">
      <c r="B23" s="29" t="s">
        <v>122</v>
      </c>
      <c r="C23" s="28" t="s">
        <v>154</v>
      </c>
      <c r="D23" s="38">
        <v>70</v>
      </c>
      <c r="E23" s="36"/>
      <c r="F23" s="49"/>
    </row>
    <row r="24" spans="1:6" s="25" customFormat="1" ht="12" x14ac:dyDescent="0.2">
      <c r="B24" s="30" t="s">
        <v>139</v>
      </c>
      <c r="C24" s="31" t="s">
        <v>155</v>
      </c>
      <c r="D24" s="37">
        <v>132.94444444444446</v>
      </c>
      <c r="E24" s="36"/>
      <c r="F24" s="49"/>
    </row>
    <row r="25" spans="1:6" s="25" customFormat="1" ht="12" x14ac:dyDescent="0.2">
      <c r="B25" s="29" t="s">
        <v>141</v>
      </c>
      <c r="C25" s="28" t="s">
        <v>156</v>
      </c>
      <c r="D25" s="38">
        <v>31.920792531997982</v>
      </c>
      <c r="E25" s="36"/>
      <c r="F25" s="49"/>
    </row>
    <row r="26" spans="1:6" s="25" customFormat="1" ht="12" x14ac:dyDescent="0.2">
      <c r="B26" s="30" t="s">
        <v>104</v>
      </c>
      <c r="C26" s="31" t="s">
        <v>157</v>
      </c>
      <c r="D26" s="37">
        <v>89.889956916838628</v>
      </c>
      <c r="E26" s="36"/>
      <c r="F26" s="49"/>
    </row>
    <row r="27" spans="1:6" s="25" customFormat="1" ht="12" x14ac:dyDescent="0.2">
      <c r="B27" s="58" t="s">
        <v>135</v>
      </c>
      <c r="C27" s="59" t="s">
        <v>158</v>
      </c>
      <c r="D27" s="60">
        <v>92.416096448354523</v>
      </c>
      <c r="E27" s="36"/>
      <c r="F27" s="49"/>
    </row>
    <row r="28" spans="1:6" s="33" customFormat="1" ht="5.25" x14ac:dyDescent="0.15">
      <c r="B28" s="45"/>
      <c r="D28" s="36"/>
      <c r="E28" s="36"/>
      <c r="F28" s="49"/>
    </row>
    <row r="29" spans="1:6" x14ac:dyDescent="0.2">
      <c r="B29" s="50" t="s">
        <v>85</v>
      </c>
      <c r="F29" s="51"/>
    </row>
    <row r="30" spans="1:6" s="33" customFormat="1" ht="5.25" x14ac:dyDescent="0.15">
      <c r="B30" s="45"/>
      <c r="D30" s="36"/>
      <c r="E30" s="36"/>
      <c r="F30" s="49"/>
    </row>
    <row r="31" spans="1:6" x14ac:dyDescent="0.2">
      <c r="B31" s="43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C34" s="56"/>
      <c r="F34" s="51"/>
    </row>
    <row r="35" spans="2:6" x14ac:dyDescent="0.2">
      <c r="B35" s="43"/>
      <c r="C35" s="56"/>
      <c r="F35" s="51"/>
    </row>
    <row r="36" spans="2:6" x14ac:dyDescent="0.2">
      <c r="B36" s="43"/>
      <c r="C36" s="56"/>
      <c r="F36" s="51"/>
    </row>
    <row r="37" spans="2:6" x14ac:dyDescent="0.2">
      <c r="B37" s="43"/>
      <c r="C37" s="56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43"/>
      <c r="F41" s="51"/>
    </row>
    <row r="42" spans="2:6" x14ac:dyDescent="0.2">
      <c r="B42" s="52"/>
      <c r="C42" s="53"/>
      <c r="D42" s="54"/>
      <c r="E42" s="54"/>
      <c r="F42" s="55"/>
    </row>
  </sheetData>
  <pageMargins left="0.38" right="0.22" top="0.17" bottom="0.2" header="0" footer="0"/>
  <pageSetup scale="29" orientation="landscape" r:id="rId1"/>
  <headerFooter alignWithMargins="0">
    <oddHeader>&amp;A</oddHeader>
    <oddFooter>&amp;C&amp;"Arial,Negrita"&amp;16Pagina IV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92</v>
      </c>
      <c r="D3" s="4"/>
      <c r="E3" s="4"/>
      <c r="F3" s="27">
        <v>46293</v>
      </c>
    </row>
    <row r="4" spans="1:6" customFormat="1" ht="15.75" x14ac:dyDescent="0.25">
      <c r="A4" s="5"/>
      <c r="B4" s="43" t="s">
        <v>91</v>
      </c>
      <c r="F4" s="44"/>
    </row>
    <row r="5" spans="1:6" ht="24" x14ac:dyDescent="0.2">
      <c r="B5" s="26" t="s">
        <v>88</v>
      </c>
      <c r="C5" s="26" t="s">
        <v>89</v>
      </c>
      <c r="D5" s="26" t="s">
        <v>96</v>
      </c>
      <c r="E5" s="26" t="s">
        <v>125</v>
      </c>
      <c r="F5" s="26" t="s">
        <v>130</v>
      </c>
    </row>
    <row r="6" spans="1:6" s="25" customFormat="1" ht="12" x14ac:dyDescent="0.2">
      <c r="B6" s="30" t="s">
        <v>140</v>
      </c>
      <c r="C6" s="31" t="s">
        <v>142</v>
      </c>
      <c r="D6" s="34">
        <v>32.583903551645484</v>
      </c>
      <c r="E6" s="34">
        <v>32.583903551645484</v>
      </c>
      <c r="F6" s="37">
        <v>32.583903551645484</v>
      </c>
    </row>
    <row r="7" spans="1:6" s="25" customFormat="1" ht="12" x14ac:dyDescent="0.2">
      <c r="B7" s="29" t="s">
        <v>95</v>
      </c>
      <c r="C7" s="28" t="s">
        <v>159</v>
      </c>
      <c r="D7" s="35">
        <v>179.72222222222223</v>
      </c>
      <c r="E7" s="35">
        <v>0</v>
      </c>
      <c r="F7" s="38">
        <v>0</v>
      </c>
    </row>
    <row r="8" spans="1:6" s="25" customFormat="1" ht="12" x14ac:dyDescent="0.2">
      <c r="B8" s="30" t="s">
        <v>124</v>
      </c>
      <c r="C8" s="31" t="s">
        <v>160</v>
      </c>
      <c r="D8" s="34">
        <v>0</v>
      </c>
      <c r="E8" s="34">
        <v>137</v>
      </c>
      <c r="F8" s="37">
        <v>0</v>
      </c>
    </row>
    <row r="9" spans="1:6" s="25" customFormat="1" ht="12" x14ac:dyDescent="0.2">
      <c r="B9" s="29" t="s">
        <v>129</v>
      </c>
      <c r="C9" s="28" t="s">
        <v>161</v>
      </c>
      <c r="D9" s="35">
        <v>0</v>
      </c>
      <c r="E9" s="35">
        <v>0</v>
      </c>
      <c r="F9" s="38">
        <v>89.655555555555551</v>
      </c>
    </row>
    <row r="10" spans="1:6" s="25" customFormat="1" ht="12" x14ac:dyDescent="0.2">
      <c r="B10" s="30" t="s">
        <v>126</v>
      </c>
      <c r="C10" s="31" t="s">
        <v>162</v>
      </c>
      <c r="D10" s="34">
        <v>74.659090909090907</v>
      </c>
      <c r="E10" s="34">
        <v>74.659090909090907</v>
      </c>
      <c r="F10" s="37">
        <v>74.659090909090907</v>
      </c>
    </row>
    <row r="11" spans="1:6" s="25" customFormat="1" ht="12" x14ac:dyDescent="0.2">
      <c r="B11" s="29" t="s">
        <v>103</v>
      </c>
      <c r="C11" s="28" t="s">
        <v>147</v>
      </c>
      <c r="D11" s="35">
        <v>26.081072159503535</v>
      </c>
      <c r="E11" s="35">
        <v>26.081072159503535</v>
      </c>
      <c r="F11" s="38">
        <v>26.081072159503535</v>
      </c>
    </row>
    <row r="12" spans="1:6" s="25" customFormat="1" ht="12" x14ac:dyDescent="0.2">
      <c r="B12" s="30" t="s">
        <v>97</v>
      </c>
      <c r="C12" s="31" t="s">
        <v>148</v>
      </c>
      <c r="D12" s="34">
        <v>57.55555555555555</v>
      </c>
      <c r="E12" s="34">
        <v>57.55555555555555</v>
      </c>
      <c r="F12" s="37">
        <v>57.55555555555555</v>
      </c>
    </row>
    <row r="13" spans="1:6" s="25" customFormat="1" ht="12" x14ac:dyDescent="0.2">
      <c r="B13" s="29" t="s">
        <v>100</v>
      </c>
      <c r="C13" s="28" t="s">
        <v>163</v>
      </c>
      <c r="D13" s="35">
        <v>134.24444444444444</v>
      </c>
      <c r="E13" s="35">
        <v>134.24444444444444</v>
      </c>
      <c r="F13" s="38">
        <v>134.24444444444444</v>
      </c>
    </row>
    <row r="14" spans="1:6" s="25" customFormat="1" ht="12" x14ac:dyDescent="0.2">
      <c r="B14" s="30" t="s">
        <v>98</v>
      </c>
      <c r="C14" s="31" t="s">
        <v>150</v>
      </c>
      <c r="D14" s="34">
        <v>24.842441509108173</v>
      </c>
      <c r="E14" s="34">
        <v>24.842441509108173</v>
      </c>
      <c r="F14" s="37">
        <v>24.842441509108173</v>
      </c>
    </row>
    <row r="15" spans="1:6" s="32" customFormat="1" ht="12" x14ac:dyDescent="0.2">
      <c r="A15" s="25"/>
      <c r="B15" s="26"/>
      <c r="C15" s="26"/>
      <c r="D15" s="57">
        <v>529.68873035157037</v>
      </c>
      <c r="E15" s="57">
        <v>486.96650812934809</v>
      </c>
      <c r="F15" s="57">
        <v>439.62206368490365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30.866666666666667</v>
      </c>
      <c r="E19" s="36"/>
      <c r="F19" s="49"/>
    </row>
    <row r="20" spans="1:6" s="25" customFormat="1" ht="12" x14ac:dyDescent="0.2">
      <c r="B20" s="29" t="s">
        <v>102</v>
      </c>
      <c r="C20" s="28" t="s">
        <v>164</v>
      </c>
      <c r="D20" s="38">
        <v>72.222222222222214</v>
      </c>
      <c r="E20" s="36"/>
      <c r="F20" s="49"/>
    </row>
    <row r="21" spans="1:6" s="25" customFormat="1" ht="12" x14ac:dyDescent="0.2">
      <c r="B21" s="30" t="s">
        <v>127</v>
      </c>
      <c r="C21" s="31" t="s">
        <v>165</v>
      </c>
      <c r="D21" s="37">
        <v>215.1888888888889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132.94444444444446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31.920792531997982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89.889956916838628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92.416096448354523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B30" s="43"/>
      <c r="F30" s="51"/>
    </row>
    <row r="31" spans="1:6" x14ac:dyDescent="0.2">
      <c r="B31" s="43"/>
      <c r="C31" s="56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F34" s="51"/>
    </row>
    <row r="35" spans="2:6" x14ac:dyDescent="0.2">
      <c r="B35" s="43"/>
      <c r="F35" s="51"/>
    </row>
    <row r="36" spans="2:6" x14ac:dyDescent="0.2">
      <c r="B36" s="43"/>
      <c r="F36" s="51"/>
    </row>
    <row r="37" spans="2:6" x14ac:dyDescent="0.2">
      <c r="B37" s="43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1:F43"/>
  <sheetViews>
    <sheetView zoomScale="70" zoomScaleNormal="70" workbookViewId="0">
      <selection activeCell="F38" sqref="F38"/>
    </sheetView>
  </sheetViews>
  <sheetFormatPr baseColWidth="10" defaultRowHeight="15" x14ac:dyDescent="0.2"/>
  <cols>
    <col min="1" max="1" width="3.28515625" customWidth="1"/>
    <col min="2" max="2" width="71" style="17" customWidth="1"/>
    <col min="3" max="3" width="31.42578125" style="17" customWidth="1"/>
    <col min="4" max="6" width="16.7109375" style="2" customWidth="1"/>
    <col min="7" max="16384" width="11.42578125" style="17"/>
  </cols>
  <sheetData>
    <row r="1" spans="1:6" s="3" customFormat="1" x14ac:dyDescent="0.2">
      <c r="A1"/>
      <c r="D1" s="2"/>
      <c r="E1" s="2"/>
      <c r="F1" s="2"/>
    </row>
    <row r="2" spans="1:6" s="6" customFormat="1" ht="23.25" x14ac:dyDescent="0.35">
      <c r="B2" s="1" t="s">
        <v>0</v>
      </c>
      <c r="C2" s="1"/>
      <c r="D2" s="7"/>
      <c r="E2" s="7"/>
      <c r="F2" s="7"/>
    </row>
    <row r="3" spans="1:6" s="5" customFormat="1" ht="15.75" x14ac:dyDescent="0.25">
      <c r="B3" s="5" t="s">
        <v>59</v>
      </c>
      <c r="D3" s="4"/>
      <c r="E3" s="22" t="e">
        <f>'INTEL 14va GEN'!#REF!</f>
        <v>#REF!</v>
      </c>
      <c r="F3" s="21"/>
    </row>
    <row r="4" spans="1:6" customFormat="1" ht="15.75" x14ac:dyDescent="0.25">
      <c r="A4" s="5"/>
    </row>
    <row r="5" spans="1:6" s="5" customFormat="1" ht="20.25" x14ac:dyDescent="0.25">
      <c r="A5"/>
      <c r="B5" s="63" t="s">
        <v>1</v>
      </c>
      <c r="C5" s="65" t="s">
        <v>7</v>
      </c>
      <c r="D5" s="67"/>
      <c r="E5" s="67"/>
      <c r="F5" s="67"/>
    </row>
    <row r="6" spans="1:6" ht="32.25" thickBot="1" x14ac:dyDescent="0.25">
      <c r="B6" s="64"/>
      <c r="C6" s="66"/>
      <c r="D6" s="20" t="s">
        <v>81</v>
      </c>
      <c r="E6" s="20" t="s">
        <v>82</v>
      </c>
      <c r="F6" s="20" t="s">
        <v>83</v>
      </c>
    </row>
    <row r="7" spans="1:6" s="3" customFormat="1" ht="20.100000000000001" customHeight="1" thickTop="1" x14ac:dyDescent="0.2">
      <c r="B7" s="15" t="s">
        <v>45</v>
      </c>
      <c r="C7" s="9" t="s">
        <v>44</v>
      </c>
      <c r="D7" s="14" t="e">
        <f>#REF!</f>
        <v>#REF!</v>
      </c>
      <c r="E7" s="14" t="e">
        <f>D7</f>
        <v>#REF!</v>
      </c>
      <c r="F7" s="14" t="e">
        <f>E7</f>
        <v>#REF!</v>
      </c>
    </row>
    <row r="8" spans="1:6" s="3" customFormat="1" ht="20.100000000000001" customHeight="1" x14ac:dyDescent="0.2">
      <c r="B8" s="16" t="s">
        <v>61</v>
      </c>
      <c r="C8" s="9" t="s">
        <v>60</v>
      </c>
      <c r="D8" s="13">
        <v>267.58</v>
      </c>
      <c r="E8" s="13"/>
      <c r="F8" s="13"/>
    </row>
    <row r="9" spans="1:6" s="3" customFormat="1" ht="19.5" customHeight="1" x14ac:dyDescent="0.2">
      <c r="B9" s="15" t="s">
        <v>63</v>
      </c>
      <c r="C9" s="9" t="s">
        <v>62</v>
      </c>
      <c r="D9" s="13"/>
      <c r="E9" s="13">
        <v>980.1</v>
      </c>
      <c r="F9" s="13"/>
    </row>
    <row r="10" spans="1:6" s="3" customFormat="1" ht="20.100000000000001" customHeight="1" x14ac:dyDescent="0.2">
      <c r="B10" s="16" t="s">
        <v>65</v>
      </c>
      <c r="C10" s="9" t="s">
        <v>64</v>
      </c>
      <c r="D10" s="13"/>
      <c r="E10" s="13"/>
      <c r="F10" s="13">
        <v>1079.0999999999999</v>
      </c>
    </row>
    <row r="11" spans="1:6" s="3" customFormat="1" ht="20.100000000000001" customHeight="1" x14ac:dyDescent="0.2">
      <c r="B11" s="15" t="s">
        <v>31</v>
      </c>
      <c r="C11" s="11" t="s">
        <v>30</v>
      </c>
      <c r="D11" s="14" t="e">
        <f>#REF!</f>
        <v>#REF!</v>
      </c>
      <c r="E11" s="14" t="e">
        <f t="shared" ref="E11:F17" si="0">D11</f>
        <v>#REF!</v>
      </c>
      <c r="F11" s="14" t="e">
        <f>E11</f>
        <v>#REF!</v>
      </c>
    </row>
    <row r="12" spans="1:6" s="3" customFormat="1" ht="20.100000000000001" customHeight="1" x14ac:dyDescent="0.2">
      <c r="B12" s="16" t="s">
        <v>70</v>
      </c>
      <c r="C12" s="9" t="s">
        <v>69</v>
      </c>
      <c r="D12" s="14" t="e">
        <f>#REF!</f>
        <v>#REF!</v>
      </c>
      <c r="E12" s="14" t="e">
        <f t="shared" si="0"/>
        <v>#REF!</v>
      </c>
      <c r="F12" s="14" t="e">
        <f t="shared" si="0"/>
        <v>#REF!</v>
      </c>
    </row>
    <row r="13" spans="1:6" s="3" customFormat="1" ht="31.5" x14ac:dyDescent="0.2">
      <c r="B13" s="15" t="s">
        <v>68</v>
      </c>
      <c r="C13" s="10" t="s">
        <v>67</v>
      </c>
      <c r="D13" s="14">
        <v>123.61</v>
      </c>
      <c r="E13" s="14">
        <f t="shared" si="0"/>
        <v>123.61</v>
      </c>
      <c r="F13" s="14">
        <f t="shared" si="0"/>
        <v>123.61</v>
      </c>
    </row>
    <row r="14" spans="1:6" s="3" customFormat="1" ht="20.100000000000001" customHeight="1" x14ac:dyDescent="0.2">
      <c r="B14" s="16" t="s">
        <v>48</v>
      </c>
      <c r="C14" s="9" t="s">
        <v>46</v>
      </c>
      <c r="D14" s="14" t="e">
        <f>#REF!</f>
        <v>#REF!</v>
      </c>
      <c r="E14" s="14" t="e">
        <f t="shared" si="0"/>
        <v>#REF!</v>
      </c>
      <c r="F14" s="14" t="e">
        <f t="shared" si="0"/>
        <v>#REF!</v>
      </c>
    </row>
    <row r="15" spans="1:6" s="3" customFormat="1" ht="20.100000000000001" customHeight="1" x14ac:dyDescent="0.2">
      <c r="B15" s="15" t="s">
        <v>49</v>
      </c>
      <c r="C15" s="10" t="s">
        <v>47</v>
      </c>
      <c r="D15" s="14" t="e">
        <f>#REF!</f>
        <v>#REF!</v>
      </c>
      <c r="E15" s="14" t="e">
        <f t="shared" si="0"/>
        <v>#REF!</v>
      </c>
      <c r="F15" s="14" t="e">
        <f t="shared" si="0"/>
        <v>#REF!</v>
      </c>
    </row>
    <row r="16" spans="1:6" s="3" customFormat="1" ht="20.100000000000001" customHeight="1" x14ac:dyDescent="0.2">
      <c r="B16" s="16" t="s">
        <v>51</v>
      </c>
      <c r="C16" s="9" t="s">
        <v>50</v>
      </c>
      <c r="D16" s="14" t="e">
        <f>#REF!</f>
        <v>#REF!</v>
      </c>
      <c r="E16" s="14" t="e">
        <f t="shared" si="0"/>
        <v>#REF!</v>
      </c>
      <c r="F16" s="14" t="e">
        <f t="shared" si="0"/>
        <v>#REF!</v>
      </c>
    </row>
    <row r="17" spans="1:6" s="3" customFormat="1" ht="20.100000000000001" customHeight="1" x14ac:dyDescent="0.2">
      <c r="B17" s="15" t="s">
        <v>53</v>
      </c>
      <c r="C17" s="12" t="s">
        <v>52</v>
      </c>
      <c r="D17" s="14" t="e">
        <f>#REF!</f>
        <v>#REF!</v>
      </c>
      <c r="E17" s="14" t="e">
        <f t="shared" si="0"/>
        <v>#REF!</v>
      </c>
      <c r="F17" s="14" t="e">
        <f t="shared" si="0"/>
        <v>#REF!</v>
      </c>
    </row>
    <row r="18" spans="1:6" s="8" customFormat="1" ht="24" thickBot="1" x14ac:dyDescent="0.25">
      <c r="A18" s="3"/>
      <c r="B18" s="61" t="s">
        <v>2</v>
      </c>
      <c r="C18" s="62"/>
      <c r="D18" s="18" t="e">
        <f>SUM(D7:D17)</f>
        <v>#REF!</v>
      </c>
      <c r="E18" s="18" t="e">
        <f>SUM(E7:E17)</f>
        <v>#REF!</v>
      </c>
      <c r="F18" s="18" t="e">
        <f>SUM(F7:F17)</f>
        <v>#REF!</v>
      </c>
    </row>
    <row r="19" spans="1:6" ht="15.75" thickTop="1" x14ac:dyDescent="0.2">
      <c r="A19" s="3"/>
      <c r="D19" s="17"/>
      <c r="E19" s="17"/>
      <c r="F19" s="17"/>
    </row>
    <row r="20" spans="1:6" s="3" customFormat="1" ht="21" thickBot="1" x14ac:dyDescent="0.35">
      <c r="A20" s="8"/>
      <c r="B20" s="19" t="s">
        <v>3</v>
      </c>
      <c r="C20" s="19" t="s">
        <v>6</v>
      </c>
      <c r="D20" s="19" t="s">
        <v>4</v>
      </c>
    </row>
    <row r="21" spans="1:6" s="3" customFormat="1" ht="16.5" thickTop="1" x14ac:dyDescent="0.2">
      <c r="B21" s="16" t="s">
        <v>5</v>
      </c>
      <c r="C21" s="11" t="s">
        <v>9</v>
      </c>
      <c r="D21" s="14" t="e">
        <f>#REF!</f>
        <v>#REF!</v>
      </c>
      <c r="F21" s="2"/>
    </row>
    <row r="22" spans="1:6" s="3" customFormat="1" ht="15.75" x14ac:dyDescent="0.2">
      <c r="B22" s="15" t="s">
        <v>32</v>
      </c>
      <c r="C22" s="11" t="s">
        <v>34</v>
      </c>
      <c r="D22" s="14" t="e">
        <f>#REF!</f>
        <v>#REF!</v>
      </c>
      <c r="F22" s="2"/>
    </row>
    <row r="23" spans="1:6" s="3" customFormat="1" ht="15.75" x14ac:dyDescent="0.2">
      <c r="A23"/>
      <c r="B23" s="16" t="s">
        <v>33</v>
      </c>
      <c r="C23" s="11" t="s">
        <v>35</v>
      </c>
      <c r="D23" s="14" t="e">
        <f>#REF!</f>
        <v>#REF!</v>
      </c>
      <c r="F23" s="2"/>
    </row>
    <row r="24" spans="1:6" s="3" customFormat="1" ht="15.75" x14ac:dyDescent="0.2">
      <c r="A24"/>
      <c r="B24" s="15" t="s">
        <v>36</v>
      </c>
      <c r="C24" s="11" t="s">
        <v>37</v>
      </c>
      <c r="D24" s="14" t="e">
        <f>#REF!</f>
        <v>#REF!</v>
      </c>
      <c r="F24" s="2"/>
    </row>
    <row r="25" spans="1:6" s="3" customFormat="1" ht="15.75" x14ac:dyDescent="0.2">
      <c r="A25"/>
      <c r="B25" s="16" t="s">
        <v>39</v>
      </c>
      <c r="C25" s="11" t="s">
        <v>38</v>
      </c>
      <c r="D25" s="14" t="e">
        <f>#REF!</f>
        <v>#REF!</v>
      </c>
      <c r="F25" s="2"/>
    </row>
    <row r="26" spans="1:6" s="3" customFormat="1" ht="15.75" x14ac:dyDescent="0.2">
      <c r="B26" s="15" t="s">
        <v>40</v>
      </c>
      <c r="C26" s="11" t="s">
        <v>41</v>
      </c>
      <c r="D26" s="14" t="e">
        <f>#REF!</f>
        <v>#REF!</v>
      </c>
      <c r="F26" s="2"/>
    </row>
    <row r="27" spans="1:6" s="3" customFormat="1" ht="15.75" x14ac:dyDescent="0.2">
      <c r="B27" s="16" t="s">
        <v>72</v>
      </c>
      <c r="C27" s="11" t="s">
        <v>71</v>
      </c>
      <c r="D27" s="14" t="e">
        <f>#REF!</f>
        <v>#REF!</v>
      </c>
      <c r="F27" s="2"/>
    </row>
    <row r="28" spans="1:6" s="3" customFormat="1" ht="15.75" x14ac:dyDescent="0.2">
      <c r="B28" s="15" t="s">
        <v>73</v>
      </c>
      <c r="C28" s="11" t="s">
        <v>74</v>
      </c>
      <c r="D28" s="14" t="e">
        <f>#REF!</f>
        <v>#REF!</v>
      </c>
      <c r="F28" s="2"/>
    </row>
    <row r="29" spans="1:6" s="3" customFormat="1" ht="15.75" x14ac:dyDescent="0.2">
      <c r="B29" s="16" t="s">
        <v>75</v>
      </c>
      <c r="C29" s="11" t="s">
        <v>76</v>
      </c>
      <c r="D29" s="14" t="e">
        <f>#REF!</f>
        <v>#REF!</v>
      </c>
      <c r="F29" s="2"/>
    </row>
    <row r="30" spans="1:6" s="3" customFormat="1" ht="15.75" x14ac:dyDescent="0.2">
      <c r="B30" s="15" t="s">
        <v>21</v>
      </c>
      <c r="C30" s="11" t="s">
        <v>22</v>
      </c>
      <c r="D30" s="14" t="e">
        <f>#REF!</f>
        <v>#REF!</v>
      </c>
      <c r="F30" s="2"/>
    </row>
    <row r="31" spans="1:6" s="3" customFormat="1" ht="15.75" x14ac:dyDescent="0.2">
      <c r="B31" s="16" t="s">
        <v>23</v>
      </c>
      <c r="C31" s="11" t="s">
        <v>24</v>
      </c>
      <c r="D31" s="14" t="e">
        <f>#REF!</f>
        <v>#REF!</v>
      </c>
      <c r="F31" s="2"/>
    </row>
    <row r="32" spans="1:6" s="3" customFormat="1" ht="15.75" x14ac:dyDescent="0.2">
      <c r="B32" s="15" t="s">
        <v>78</v>
      </c>
      <c r="C32" s="11" t="s">
        <v>77</v>
      </c>
      <c r="D32" s="14" t="e">
        <f>#REF!</f>
        <v>#REF!</v>
      </c>
      <c r="F32" s="2"/>
    </row>
    <row r="33" spans="2:4" ht="15.75" x14ac:dyDescent="0.2">
      <c r="B33" s="16" t="s">
        <v>80</v>
      </c>
      <c r="C33" s="11" t="s">
        <v>79</v>
      </c>
      <c r="D33" s="14" t="e">
        <f>#REF!</f>
        <v>#REF!</v>
      </c>
    </row>
    <row r="34" spans="2:4" ht="31.5" x14ac:dyDescent="0.2">
      <c r="B34" s="15" t="s">
        <v>18</v>
      </c>
      <c r="C34" s="11" t="s">
        <v>17</v>
      </c>
      <c r="D34" s="14" t="e">
        <f>#REF!</f>
        <v>#REF!</v>
      </c>
    </row>
    <row r="35" spans="2:4" ht="31.5" x14ac:dyDescent="0.2">
      <c r="B35" s="24" t="s">
        <v>25</v>
      </c>
      <c r="C35" s="11" t="s">
        <v>26</v>
      </c>
      <c r="D35" s="14" t="e">
        <f>#REF!</f>
        <v>#REF!</v>
      </c>
    </row>
    <row r="36" spans="2:4" ht="15.75" x14ac:dyDescent="0.2">
      <c r="B36" s="15" t="s">
        <v>13</v>
      </c>
      <c r="C36" s="11" t="s">
        <v>8</v>
      </c>
      <c r="D36" s="14" t="e">
        <f>#REF!</f>
        <v>#REF!</v>
      </c>
    </row>
    <row r="37" spans="2:4" ht="15.75" x14ac:dyDescent="0.2">
      <c r="B37" s="16" t="s">
        <v>10</v>
      </c>
      <c r="C37" s="11" t="s">
        <v>15</v>
      </c>
      <c r="D37" s="14" t="e">
        <f>#REF!</f>
        <v>#REF!</v>
      </c>
    </row>
    <row r="38" spans="2:4" ht="15.75" x14ac:dyDescent="0.2">
      <c r="B38" s="15" t="s">
        <v>14</v>
      </c>
      <c r="C38" s="11" t="s">
        <v>16</v>
      </c>
      <c r="D38" s="14" t="e">
        <f>#REF!</f>
        <v>#REF!</v>
      </c>
    </row>
    <row r="39" spans="2:4" ht="15.75" x14ac:dyDescent="0.2">
      <c r="B39" s="16" t="s">
        <v>42</v>
      </c>
      <c r="C39" s="11" t="s">
        <v>43</v>
      </c>
      <c r="D39" s="14" t="e">
        <f>#REF!</f>
        <v>#REF!</v>
      </c>
    </row>
    <row r="40" spans="2:4" ht="15.75" x14ac:dyDescent="0.2">
      <c r="B40" s="15" t="s">
        <v>28</v>
      </c>
      <c r="C40" s="11" t="s">
        <v>27</v>
      </c>
      <c r="D40" s="14" t="e">
        <f>#REF!</f>
        <v>#REF!</v>
      </c>
    </row>
    <row r="41" spans="2:4" ht="15.75" x14ac:dyDescent="0.2">
      <c r="B41" s="16" t="s">
        <v>11</v>
      </c>
      <c r="C41" s="11" t="s">
        <v>12</v>
      </c>
      <c r="D41" s="14" t="e">
        <f>#REF!</f>
        <v>#REF!</v>
      </c>
    </row>
    <row r="42" spans="2:4" ht="15.75" x14ac:dyDescent="0.2">
      <c r="B42" s="15" t="s">
        <v>54</v>
      </c>
      <c r="C42" s="11" t="s">
        <v>55</v>
      </c>
      <c r="D42" s="14" t="e">
        <f>#REF!</f>
        <v>#REF!</v>
      </c>
    </row>
    <row r="43" spans="2:4" ht="15.75" x14ac:dyDescent="0.2">
      <c r="B43" s="16" t="s">
        <v>56</v>
      </c>
      <c r="C43" s="11" t="s">
        <v>57</v>
      </c>
      <c r="D43" s="14" t="e">
        <f>#REF!</f>
        <v>#REF!</v>
      </c>
    </row>
  </sheetData>
  <mergeCells count="4">
    <mergeCell ref="B5:B6"/>
    <mergeCell ref="C5:C6"/>
    <mergeCell ref="D5:F5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P4 LGA775</vt:lpstr>
      <vt:lpstr>INTEL 14va GEN</vt:lpstr>
      <vt:lpstr>INTEL 12va GEN</vt:lpstr>
      <vt:lpstr>AMD RYZEN</vt:lpstr>
      <vt:lpstr>AMD RYZEN 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Jahudiel Heli Contreras Rodriguez</dc:creator>
  <cp:lastModifiedBy>Carlos Pasillas</cp:lastModifiedBy>
  <cp:lastPrinted>2014-01-04T20:28:02Z</cp:lastPrinted>
  <dcterms:created xsi:type="dcterms:W3CDTF">2001-06-16T16:01:44Z</dcterms:created>
  <dcterms:modified xsi:type="dcterms:W3CDTF">2026-09-26T20:49:20Z</dcterms:modified>
</cp:coreProperties>
</file>